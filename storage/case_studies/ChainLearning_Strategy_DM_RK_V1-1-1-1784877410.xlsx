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npep/Documents/Digifyce/Sales /Proposals/Chain Learn Academy /"/>
    </mc:Choice>
  </mc:AlternateContent>
  <xr:revisionPtr revIDLastSave="0" documentId="13_ncr:1_{14AD8DFB-3FD8-6A49-B565-BE705C5C2293}" xr6:coauthVersionLast="47" xr6:coauthVersionMax="47" xr10:uidLastSave="{00000000-0000-0000-0000-000000000000}"/>
  <bookViews>
    <workbookView xWindow="1120" yWindow="540" windowWidth="27840" windowHeight="17500" firstSheet="2" activeTab="2" xr2:uid="{69C2DCEE-AF46-E645-BB5A-A8B389953F5D}"/>
  </bookViews>
  <sheets>
    <sheet name="Situation" sheetId="3" r:id="rId1"/>
    <sheet name="POA vs VP" sheetId="6" r:id="rId2"/>
    <sheet name="KPI" sheetId="4" r:id="rId3"/>
    <sheet name="PeronaVsChannel Fit" sheetId="5" r:id="rId4"/>
    <sheet name="Scope" sheetId="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</calcChain>
</file>

<file path=xl/sharedStrings.xml><?xml version="1.0" encoding="utf-8"?>
<sst xmlns="http://schemas.openxmlformats.org/spreadsheetml/2006/main" count="263" uniqueCount="192">
  <si>
    <t xml:space="preserve">Situation Analysis </t>
  </si>
  <si>
    <t>Chain Learn Academy is preparing to launch three cutting-edge Strategies</t>
  </si>
  <si>
    <t xml:space="preserve">Approach 1 </t>
  </si>
  <si>
    <t>1. Direct Walk-ins (Offline Acquisition)
We propose initiating direct walk-in admissions for blockchain courses in Erode as the pilot market, with a phased expansion to other Indian cities and UAE markets.
This will be driven through a traditional lead generation approach, starting with lower-entry courses to attract volume and trust, and gradually upselling to high-value advanced programs.</t>
  </si>
  <si>
    <t>Approach 2</t>
  </si>
  <si>
    <t>2. Online LMS Platform (Digital Acquisition)
Drive direct enrollments for the LMS-based EdTech platform using a structured mix of webinars, paid lead generation, and inbound marketing strategies.
This approach ensures scalable reach, qualified leads, and consistent student acquisition across geographies.</t>
  </si>
  <si>
    <t>Approach 3</t>
  </si>
  <si>
    <t>3. Offline Expos &amp; Workshops
Organize one-day and two-day offline workshops and expos, featuring industry and tech experts.
The objective is to build strong brand credibility and generate a high volume of quality walk-ins and on-ground conversions within a short time frame.</t>
  </si>
  <si>
    <t>Approach 4</t>
  </si>
  <si>
    <t>4. Technology &amp; Automation Structuring
Implement a robust technology ecosystem to support:
•	Traditional marketing campaigns
•	Webinar funnels
•	Drip and nurture campaigns
AI-powered systems will be used to qualify marketing leads, ensuring only sales-qualified leads (SQLs) are passed to the sales team, resulting in faster and higher conversion rates.</t>
  </si>
  <si>
    <t>Approach 5</t>
  </si>
  <si>
    <t>5. Team &amp; Organization Structuring
Support the hiring, team structuring, and hierarchy design across:
•	Finance
•	Sales
•	Operations
•	Marketing
Each function will have clear ownership, defined KPIs, and measurable performance metrics, aligned toward achieving targeted revenue and sales outcomes.</t>
  </si>
  <si>
    <t>Persona</t>
  </si>
  <si>
    <t>Students</t>
  </si>
  <si>
    <t xml:space="preserve">Career Switching </t>
  </si>
  <si>
    <t>Business Expansion</t>
  </si>
  <si>
    <t>Investors</t>
  </si>
  <si>
    <t>Revenue Contribution</t>
  </si>
  <si>
    <t>35 - 40%</t>
  </si>
  <si>
    <t>30 to 35%</t>
  </si>
  <si>
    <t>15 to 20%</t>
  </si>
  <si>
    <t>10 to 15%</t>
  </si>
  <si>
    <t>Conversion Leads</t>
  </si>
  <si>
    <t>High</t>
  </si>
  <si>
    <t xml:space="preserve">Medium </t>
  </si>
  <si>
    <t>Low</t>
  </si>
  <si>
    <t>Very Low</t>
  </si>
  <si>
    <t>Conversion Revenue</t>
  </si>
  <si>
    <t>high</t>
  </si>
  <si>
    <t>CAC</t>
  </si>
  <si>
    <t>Very High</t>
  </si>
  <si>
    <t>ROI</t>
  </si>
  <si>
    <t>Strategic</t>
  </si>
  <si>
    <t xml:space="preserve">Pain Point </t>
  </si>
  <si>
    <t>•	Uncertainty about job placement after education
•	Low confidence in traditional degrees delivering high salaries
•	Lack of practical, industry-ready skills
•	Confusion about which technology will remain relevant long-term</t>
  </si>
  <si>
    <t>•	Stagnant salary growth in current roles
•	Fear of career transition risk
•	Time constraints due to existing job
•	Lack of clarity on ROI of learning new skills</t>
  </si>
  <si>
    <t>•	Existing businesses reaching growth saturation
•	Lack of clarity on practical blockchain use cases
•	High cost and risk of tech adoption
•	Dependency on third-party technology vendors</t>
  </si>
  <si>
    <t>•	Fear of scams and misinformation in crypto and blockchain
•	Difficulty in evaluating real vs hype projects
•	Limited access to credible deal flow
•	Lack of structured investment knowledge</t>
  </si>
  <si>
    <t>Pain Relievers</t>
  </si>
  <si>
    <t>•	“This is not another course. This is a career-outcome program designed for high-paying roles.”
•	“Learn blockchain skills that are already in demand by global companies.”
•	“Hands-on projects, internships, and placement support—not just certificates.”</t>
  </si>
  <si>
    <t>•	“Switch careers without starting from zero.”
•	“Move into high-paying blockchain roles using your existing experience.”
•	“Fast-track programs designed for working professionals.”</t>
  </si>
  <si>
    <t>•	“Blockchain is a business tool, not just a technology.”
•	“Learn how to integrate blockchain into your existing business.”
•	“Reduce dependency on vendors by understanding the system yourself.”</t>
  </si>
  <si>
    <t>•	“Invest with knowledge, not speculation.”
•	“Understand risk, valuation, and timing before investing.”
•	“Access curated opportunities backed by expert insight.”</t>
  </si>
  <si>
    <t xml:space="preserve">Strategy Mix </t>
  </si>
  <si>
    <t>Traditional Lead Gen (Primary)
Offline Expos (Secondary)</t>
  </si>
  <si>
    <t>Webinars (Primary)
Traditional Lead Gen (Secondary)</t>
  </si>
  <si>
    <t>Offline Expos (Primary)
Webinars (Secondary)</t>
  </si>
  <si>
    <t xml:space="preserve">Offline Expos (Primary)
Webinars (Secondary)
</t>
  </si>
  <si>
    <t>Execution</t>
  </si>
  <si>
    <t>•	Run local lead generation campaigns for entry-level blockchain certifications.
•	Focus on colleges, final-year students, and fresh graduates.
•	Conduct 1-day offline workshops in Erode with live demos and career talks.
•	Offer affordable entry pricing to drive volume.</t>
  </si>
  <si>
    <t>•	Conduct weekly webinars titled around salary jumps and role transitions.
•	Promote via LinkedIn, Meta, and Google.
•	Use lead gen forms capturing current role, experience, and salary.
•	Post-webinar 1:1 counselling calls.</t>
  </si>
  <si>
    <t>•	Conduct closed-door offline sessions with blockchain experts.
•	Invite MSME owners and founders.
•	Position programs as business enablement, not education.
•	Follow up with executive webinars for deeper engagement.</t>
  </si>
  <si>
    <t>Execution
•	Organize invite-only investor meets.
•	Focus on education + deal evaluation frameworks.
•	Conduct post-event private webinars for portfolio strategy.</t>
  </si>
  <si>
    <t xml:space="preserve">Core Positioning </t>
  </si>
  <si>
    <t>“Most students today don’t fail because they lack degrees—they fail because they lack industry-ready skills. Our blockchain program is designed to bridge that exact gap and position you for high-paying global roles.”</t>
  </si>
  <si>
    <t xml:space="preserve"> “Most professionals don’t change careers because they want to—they change because their salary growth plateaus. Blockchain is one of the few domains where experience + new skills can create a 20–40% jump.”</t>
  </si>
  <si>
    <r>
      <t xml:space="preserve"> “Blockchain is not a technology trend—it’s a </t>
    </r>
    <r>
      <rPr>
        <b/>
        <sz val="12"/>
        <color rgb="FF000000"/>
        <rFont val="Franklin Gothic Medium"/>
        <family val="2"/>
      </rPr>
      <t>business efficiency tool</t>
    </r>
    <r>
      <rPr>
        <sz val="12"/>
        <color rgb="FF000000"/>
        <rFont val="Franklin Gothic Medium"/>
        <family val="2"/>
      </rPr>
      <t>. Entrepreneurs who understand it early reduce dependency and unlock new revenue lines.”</t>
    </r>
  </si>
  <si>
    <t xml:space="preserve"> “The biggest risk in crypto is not volatility—it’s investing without understanding. We focus on knowledge-first investing.”</t>
  </si>
  <si>
    <t xml:space="preserve">Pain Relief Statement </t>
  </si>
  <si>
    <t>•	“How long have you been in your current role without a major salary revision?”
•	“What’s the risk you see in switching domains?”
Pain Relief Statement
“This is a transition program, not a beginner reset. We map blockchain roles to your existing experience.”</t>
  </si>
  <si>
    <t>“We teach valuation, risk frameworks, and portfolio strategy—so decisions are structured, not emotional.”</t>
  </si>
  <si>
    <t>Closing Direction</t>
  </si>
  <si>
    <t>“This program focuses on hands-on projects, internships, and placement readiness, not just certificates.”</t>
  </si>
  <si>
    <t>“Based on your background, we can recommend a fast-track path. Shall we map your current role to blockchain opportunities?”</t>
  </si>
  <si>
    <t>“Most founders start with the executive program and later move into implementation consulting. Would you like to explore use cases relevant to your industry?”</t>
  </si>
  <si>
    <t>“This is best suited for investors looking at long-term, informed returns. Shall we walk through the learning and advisory structure?”</t>
  </si>
  <si>
    <t>Why This Works</t>
  </si>
  <si>
    <t>Students respond to physical presence, affordability, and career clarity.
KPI
•	Walk-ins
•	Entry course enrollments
•	Cost per lead</t>
  </si>
  <si>
    <t>Career switchers require ROI clarity and reduced risk perception.
KPI
•	Webinar attendance rate
•	Lead-to-counselling ratio
•	Conversion to advanced programs</t>
  </si>
  <si>
    <t>Entrepreneurs trust peer networks and face-to-face credibility.
KPI
•	Qualified business leads
•	High-ticket program enrollments</t>
  </si>
  <si>
    <t>Investors require exclusivity and trust, not mass marketing.
KPI
•	Investor registrations
•	Premium program sign-ups</t>
  </si>
  <si>
    <t>Month 1</t>
  </si>
  <si>
    <t>KPI</t>
  </si>
  <si>
    <t>Career Switchers</t>
  </si>
  <si>
    <t>Entrepreneurs</t>
  </si>
  <si>
    <t>Leads Generated</t>
  </si>
  <si>
    <t>Medium</t>
  </si>
  <si>
    <t>Walk-ins / Webinar Attendees</t>
  </si>
  <si>
    <t>Enrollments</t>
  </si>
  <si>
    <t>Entry-level</t>
  </si>
  <si>
    <t>Mid-ticket</t>
  </si>
  <si>
    <t>High-ticket</t>
  </si>
  <si>
    <t>Premium</t>
  </si>
  <si>
    <t>Revenue Focus</t>
  </si>
  <si>
    <t>Volume</t>
  </si>
  <si>
    <t>Value</t>
  </si>
  <si>
    <t>Trust</t>
  </si>
  <si>
    <t xml:space="preserve">Leads Projected </t>
  </si>
  <si>
    <t>Month 2</t>
  </si>
  <si>
    <t>Target</t>
  </si>
  <si>
    <t>Lead-to-Qualified Ratio</t>
  </si>
  <si>
    <t>↑ 20–30%</t>
  </si>
  <si>
    <t>Sales Conversion Rate</t>
  </si>
  <si>
    <t>↑ 15–20%</t>
  </si>
  <si>
    <t>Webinar Attendance Rate</t>
  </si>
  <si>
    <t>&gt;45%</t>
  </si>
  <si>
    <t>Offline Event Conversion</t>
  </si>
  <si>
    <t>&gt;20%</t>
  </si>
  <si>
    <t>Average Deal Size</t>
  </si>
  <si>
    <t>↑ 25%</t>
  </si>
  <si>
    <t>Month 3</t>
  </si>
  <si>
    <t>Multi-persona balance</t>
  </si>
  <si>
    <t>Repeat / Upsell Rate</t>
  </si>
  <si>
    <t>&gt;30%</t>
  </si>
  <si>
    <t>Sales Cycle Time</t>
  </si>
  <si>
    <t>↓ 25%</t>
  </si>
  <si>
    <t>City Replication Readiness</t>
  </si>
  <si>
    <t>Achieved</t>
  </si>
  <si>
    <t>UAE Pilot Readiness</t>
  </si>
  <si>
    <t>Initiated</t>
  </si>
  <si>
    <t>S.No</t>
  </si>
  <si>
    <t>Traditional Lead Gen</t>
  </si>
  <si>
    <t>Webinars</t>
  </si>
  <si>
    <t>Offline Expos</t>
  </si>
  <si>
    <t>High Fit</t>
  </si>
  <si>
    <t>Medium Fit</t>
  </si>
  <si>
    <t>Low Fit</t>
  </si>
  <si>
    <t>Primary Goal</t>
  </si>
  <si>
    <t>Validate persona demand</t>
  </si>
  <si>
    <t>Establish initial revenue</t>
  </si>
  <si>
    <t>Build offline and online trust signals</t>
  </si>
  <si>
    <t xml:space="preserve">S.No </t>
  </si>
  <si>
    <t xml:space="preserve">Channels </t>
  </si>
  <si>
    <t xml:space="preserve">Package 3 </t>
  </si>
  <si>
    <t xml:space="preserve">Strategy </t>
  </si>
  <si>
    <t>Ground Zero Analysis &amp; Digital Audit</t>
  </si>
  <si>
    <t xml:space="preserve">Yes </t>
  </si>
  <si>
    <t>Digital Accounts Restructuring &amp; Consolidation</t>
  </si>
  <si>
    <t>Digital Strategy &amp; Competition Study</t>
  </si>
  <si>
    <t xml:space="preserve">Business Model Canvas &amp; POA </t>
  </si>
  <si>
    <t xml:space="preserve">Technology </t>
  </si>
  <si>
    <t xml:space="preserve">Webinar Setup Technology </t>
  </si>
  <si>
    <t xml:space="preserve">Inbound Funnel Setup </t>
  </si>
  <si>
    <t xml:space="preserve">CRM Setups - MQL &amp; SQL </t>
  </si>
  <si>
    <t>Marketing Automation - (Lead Scoring)</t>
  </si>
  <si>
    <t>Search Paid</t>
  </si>
  <si>
    <t xml:space="preserve">Text Ads </t>
  </si>
  <si>
    <t xml:space="preserve">YouTube </t>
  </si>
  <si>
    <t xml:space="preserve">Display </t>
  </si>
  <si>
    <t xml:space="preserve">Discovery </t>
  </si>
  <si>
    <t xml:space="preserve">Smart Campaigns </t>
  </si>
  <si>
    <t xml:space="preserve">Performance Max </t>
  </si>
  <si>
    <t xml:space="preserve">Search Organic </t>
  </si>
  <si>
    <t>Google Business Page</t>
  </si>
  <si>
    <t>SEO - Landing Pages</t>
  </si>
  <si>
    <t>On Page &amp; Off Page</t>
  </si>
  <si>
    <t xml:space="preserve">Q&amp;A Sites </t>
  </si>
  <si>
    <t>Upto 3 Sites</t>
  </si>
  <si>
    <t xml:space="preserve">Content, Graphics &amp; Videos </t>
  </si>
  <si>
    <t>Single Images</t>
  </si>
  <si>
    <t>Upto 15</t>
  </si>
  <si>
    <t xml:space="preserve">Carousels </t>
  </si>
  <si>
    <t>Upto 7</t>
  </si>
  <si>
    <t xml:space="preserve">Blogs </t>
  </si>
  <si>
    <t>Content Management - Sites</t>
  </si>
  <si>
    <t>Video Concept for Ads</t>
  </si>
  <si>
    <t xml:space="preserve">Videos </t>
  </si>
  <si>
    <t xml:space="preserve">Editing Yes </t>
  </si>
  <si>
    <t>Meta Ads</t>
  </si>
  <si>
    <t>Facebook Pages</t>
  </si>
  <si>
    <t>Upto 3</t>
  </si>
  <si>
    <t xml:space="preserve">Instagram Pages </t>
  </si>
  <si>
    <t xml:space="preserve">Followers Campaigns </t>
  </si>
  <si>
    <t>Branding Campaigns</t>
  </si>
  <si>
    <t xml:space="preserve">Lead Generation </t>
  </si>
  <si>
    <t xml:space="preserve">Unlimited </t>
  </si>
  <si>
    <t>Webinar Ads</t>
  </si>
  <si>
    <t>Upto 4</t>
  </si>
  <si>
    <t xml:space="preserve">WhatsApp Broadcast </t>
  </si>
  <si>
    <t xml:space="preserve">Whatsapp Automations </t>
  </si>
  <si>
    <t xml:space="preserve">Reputation Management </t>
  </si>
  <si>
    <t>L2</t>
  </si>
  <si>
    <t xml:space="preserve">Automations </t>
  </si>
  <si>
    <t>Newsletters</t>
  </si>
  <si>
    <t xml:space="preserve">4 to 6 </t>
  </si>
  <si>
    <t xml:space="preserve">MQL Funnel Strategy </t>
  </si>
  <si>
    <t>Advanced</t>
  </si>
  <si>
    <t xml:space="preserve">Email &amp; Drip Automations </t>
  </si>
  <si>
    <t xml:space="preserve">Tracking </t>
  </si>
  <si>
    <t xml:space="preserve">Heat Maps </t>
  </si>
  <si>
    <t xml:space="preserve">Tags </t>
  </si>
  <si>
    <t xml:space="preserve">Google Analytics </t>
  </si>
  <si>
    <t xml:space="preserve">Pixels </t>
  </si>
  <si>
    <t xml:space="preserve">Analytics </t>
  </si>
  <si>
    <t>GYR Based - Quadrant Format</t>
  </si>
  <si>
    <t xml:space="preserve">MoM Improvisation Metrics </t>
  </si>
  <si>
    <t xml:space="preserve">Channel Specific </t>
  </si>
  <si>
    <t xml:space="preserve">ROAS Based Reporting </t>
  </si>
  <si>
    <t xml:space="preserve">Inferences &amp; Recommendations </t>
  </si>
  <si>
    <t>Digital Retainer (Strategy + Digital Executions + Automations + Content + Creatives + Reportings)</t>
  </si>
  <si>
    <t>Digital Ads Spends + Promotions (Depends on Client - Can increase or Decrease)</t>
  </si>
  <si>
    <t xml:space="preserve">Overall Spending Per 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</si>
</sst>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SGD]\ * #,##0_);_([$SGD]\ * \(#,##0\);_([$SGD]\ * &quot;-&quot;??_);_(@_)"/>
  </numFmts>
  <fonts count="15">
    <font>
      <sz val="12"/>
      <color theme="1"/>
      <name val="Calibri"/>
      <family val="2"/>
      <scheme val="minor"/>
    </font>
    <font>
      <sz val="12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rgb="FF000000"/>
      <name val="Franklin Gothic Medium"/>
      <family val="2"/>
    </font>
    <font>
      <b/>
      <sz val="11"/>
      <color rgb="FF000000"/>
      <name val="Franklin Gothic Medium"/>
      <family val="2"/>
    </font>
    <font>
      <b/>
      <sz val="12"/>
      <color rgb="FF000000"/>
      <name val="Franklin Gothic Medium"/>
      <family val="2"/>
    </font>
    <font>
      <b/>
      <sz val="12"/>
      <color theme="1"/>
      <name val="Calibri"/>
      <family val="2"/>
      <scheme val="minor"/>
    </font>
    <font>
      <sz val="12"/>
      <color rgb="FF000000"/>
      <name val="Franklin Gothic Medium"/>
      <family val="2"/>
    </font>
    <font>
      <sz val="12"/>
      <color theme="1"/>
      <name val="Franklin Gothic Book"/>
      <family val="2"/>
    </font>
    <font>
      <b/>
      <sz val="12"/>
      <color theme="1"/>
      <name val="Franklin Gothic Book"/>
      <family val="2"/>
    </font>
    <font>
      <b/>
      <sz val="14"/>
      <color theme="1"/>
      <name val="Franklin Gothic Book"/>
      <family val="2"/>
    </font>
    <font>
      <sz val="14"/>
      <color theme="1"/>
      <name val="Franklin Gothic Book"/>
      <family val="2"/>
    </font>
    <font>
      <b/>
      <sz val="14"/>
      <color rgb="FF000000"/>
      <name val="Franklin Gothic Book"/>
      <family val="2"/>
    </font>
    <font>
      <b/>
      <i/>
      <sz val="14"/>
      <color rgb="FF000000"/>
      <name val="Franklin Gothic Medium"/>
      <family val="2"/>
    </font>
    <font>
      <i/>
      <sz val="14"/>
      <color rgb="FF000000"/>
      <name val="Franklin Gothic Medium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10" borderId="0" xfId="0" applyFont="1" applyFill="1" applyAlignment="1">
      <alignment vertical="center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2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 inden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indent="2"/>
    </xf>
    <xf numFmtId="0" fontId="2" fillId="3" borderId="1" xfId="0" applyFont="1" applyFill="1" applyBorder="1" applyAlignment="1">
      <alignment horizontal="left" vertical="center" indent="2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2"/>
    </xf>
    <xf numFmtId="0" fontId="1" fillId="0" borderId="1" xfId="0" applyFont="1" applyBorder="1" applyAlignment="1">
      <alignment horizontal="left" vertical="center" wrapText="1" indent="1"/>
    </xf>
    <xf numFmtId="0" fontId="2" fillId="8" borderId="5" xfId="0" applyFont="1" applyFill="1" applyBorder="1" applyAlignment="1">
      <alignment horizontal="left" vertical="center" indent="2"/>
    </xf>
    <xf numFmtId="0" fontId="2" fillId="8" borderId="7" xfId="0" applyFont="1" applyFill="1" applyBorder="1" applyAlignment="1">
      <alignment horizontal="left" vertical="center" indent="2"/>
    </xf>
    <xf numFmtId="0" fontId="2" fillId="8" borderId="6" xfId="0" applyFont="1" applyFill="1" applyBorder="1" applyAlignment="1">
      <alignment horizontal="left" vertical="center" indent="2"/>
    </xf>
    <xf numFmtId="0" fontId="1" fillId="0" borderId="1" xfId="0" applyFont="1" applyBorder="1" applyAlignment="1">
      <alignment horizontal="left" wrapText="1" indent="1"/>
    </xf>
    <xf numFmtId="0" fontId="2" fillId="4" borderId="1" xfId="0" applyFont="1" applyFill="1" applyBorder="1" applyAlignment="1">
      <alignment horizontal="left" vertical="center" indent="2"/>
    </xf>
    <xf numFmtId="0" fontId="2" fillId="5" borderId="1" xfId="0" applyFont="1" applyFill="1" applyBorder="1" applyAlignment="1">
      <alignment horizontal="left" vertical="center" indent="2"/>
    </xf>
    <xf numFmtId="0" fontId="2" fillId="6" borderId="1" xfId="0" applyFont="1" applyFill="1" applyBorder="1" applyAlignment="1">
      <alignment horizontal="left" vertical="center" indent="2"/>
    </xf>
    <xf numFmtId="0" fontId="2" fillId="7" borderId="1" xfId="0" applyFont="1" applyFill="1" applyBorder="1" applyAlignment="1">
      <alignment horizontal="left" vertical="center" indent="2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E591-92D4-C04F-892B-E81A58A0BC84}">
  <dimension ref="A1:B7"/>
  <sheetViews>
    <sheetView zoomScale="112" workbookViewId="0">
      <selection activeCell="B5" sqref="B5"/>
    </sheetView>
  </sheetViews>
  <sheetFormatPr defaultColWidth="23.125" defaultRowHeight="18"/>
  <cols>
    <col min="1" max="1" width="23.125" style="17"/>
    <col min="2" max="2" width="192.875" style="18" customWidth="1"/>
    <col min="3" max="16384" width="23.125" style="17"/>
  </cols>
  <sheetData>
    <row r="1" spans="1:2" s="19" customFormat="1" ht="33.950000000000003" customHeight="1">
      <c r="A1" s="19" t="s">
        <v>0</v>
      </c>
      <c r="B1" s="20"/>
    </row>
    <row r="2" spans="1:2" s="19" customFormat="1" ht="33.950000000000003" customHeight="1">
      <c r="A2" s="19" t="s">
        <v>1</v>
      </c>
      <c r="B2" s="20"/>
    </row>
    <row r="3" spans="1:2" s="19" customFormat="1" ht="129.94999999999999" customHeight="1">
      <c r="A3" s="19" t="s">
        <v>2</v>
      </c>
      <c r="B3" s="20" t="s">
        <v>3</v>
      </c>
    </row>
    <row r="4" spans="1:2" s="19" customFormat="1" ht="129.94999999999999" customHeight="1">
      <c r="A4" s="19" t="s">
        <v>4</v>
      </c>
      <c r="B4" s="20" t="s">
        <v>5</v>
      </c>
    </row>
    <row r="5" spans="1:2" s="19" customFormat="1" ht="129.94999999999999" customHeight="1">
      <c r="A5" s="19" t="s">
        <v>6</v>
      </c>
      <c r="B5" s="20" t="s">
        <v>7</v>
      </c>
    </row>
    <row r="6" spans="1:2" s="19" customFormat="1" ht="129.94999999999999" customHeight="1">
      <c r="A6" s="19" t="s">
        <v>8</v>
      </c>
      <c r="B6" s="20" t="s">
        <v>9</v>
      </c>
    </row>
    <row r="7" spans="1:2" s="19" customFormat="1" ht="129.94999999999999" customHeight="1">
      <c r="A7" s="19" t="s">
        <v>10</v>
      </c>
      <c r="B7" s="2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BE7D-9177-A443-B449-B8BA5844E4A3}">
  <dimension ref="A1:E14"/>
  <sheetViews>
    <sheetView zoomScale="93" workbookViewId="0">
      <pane xSplit="1" topLeftCell="B1" activePane="topRight" state="frozen"/>
      <selection pane="topRight" activeCell="B10" sqref="B10"/>
    </sheetView>
  </sheetViews>
  <sheetFormatPr defaultColWidth="10.875" defaultRowHeight="24" customHeight="1"/>
  <cols>
    <col min="1" max="1" width="24.125" style="27" customWidth="1"/>
    <col min="2" max="2" width="59.5" style="26" bestFit="1" customWidth="1"/>
    <col min="3" max="3" width="55.5" style="26" customWidth="1"/>
    <col min="4" max="4" width="52.875" style="26" bestFit="1" customWidth="1"/>
    <col min="5" max="5" width="47" style="26" bestFit="1" customWidth="1"/>
    <col min="6" max="16384" width="10.875" style="26"/>
  </cols>
  <sheetData>
    <row r="1" spans="1:5" s="27" customFormat="1" ht="42.95" customHeight="1">
      <c r="A1" s="28" t="s">
        <v>12</v>
      </c>
      <c r="B1" s="28" t="s">
        <v>13</v>
      </c>
      <c r="C1" s="28" t="s">
        <v>14</v>
      </c>
      <c r="D1" s="28" t="s">
        <v>15</v>
      </c>
      <c r="E1" s="28" t="s">
        <v>16</v>
      </c>
    </row>
    <row r="2" spans="1:5" s="27" customFormat="1" ht="42.95" customHeight="1">
      <c r="A2" s="28" t="s">
        <v>17</v>
      </c>
      <c r="B2" s="29" t="s">
        <v>18</v>
      </c>
      <c r="C2" s="29" t="s">
        <v>19</v>
      </c>
      <c r="D2" s="30" t="s">
        <v>20</v>
      </c>
      <c r="E2" s="30" t="s">
        <v>21</v>
      </c>
    </row>
    <row r="3" spans="1:5" s="27" customFormat="1" ht="42.95" customHeight="1">
      <c r="A3" s="28" t="s">
        <v>22</v>
      </c>
      <c r="B3" s="29" t="s">
        <v>23</v>
      </c>
      <c r="C3" s="29" t="s">
        <v>24</v>
      </c>
      <c r="D3" s="30" t="s">
        <v>25</v>
      </c>
      <c r="E3" s="30" t="s">
        <v>26</v>
      </c>
    </row>
    <row r="4" spans="1:5" s="27" customFormat="1" ht="24" customHeight="1">
      <c r="A4" s="28" t="s">
        <v>27</v>
      </c>
      <c r="B4" s="30" t="s">
        <v>24</v>
      </c>
      <c r="C4" s="29" t="s">
        <v>23</v>
      </c>
      <c r="D4" s="29" t="s">
        <v>28</v>
      </c>
      <c r="E4" s="29" t="s">
        <v>23</v>
      </c>
    </row>
    <row r="5" spans="1:5" s="27" customFormat="1" ht="24" customHeight="1">
      <c r="A5" s="28" t="s">
        <v>29</v>
      </c>
      <c r="B5" s="30" t="s">
        <v>25</v>
      </c>
      <c r="C5" s="30" t="s">
        <v>24</v>
      </c>
      <c r="D5" s="29" t="s">
        <v>23</v>
      </c>
      <c r="E5" s="29" t="s">
        <v>30</v>
      </c>
    </row>
    <row r="6" spans="1:5" s="27" customFormat="1" ht="24" customHeight="1">
      <c r="A6" s="28" t="s">
        <v>31</v>
      </c>
      <c r="B6" s="30" t="s">
        <v>24</v>
      </c>
      <c r="C6" s="29" t="s">
        <v>23</v>
      </c>
      <c r="D6" s="29" t="s">
        <v>23</v>
      </c>
      <c r="E6" s="29" t="s">
        <v>32</v>
      </c>
    </row>
    <row r="7" spans="1:5" ht="84.95">
      <c r="A7" s="28" t="s">
        <v>33</v>
      </c>
      <c r="B7" s="31" t="s">
        <v>34</v>
      </c>
      <c r="C7" s="31" t="s">
        <v>35</v>
      </c>
      <c r="D7" s="31" t="s">
        <v>36</v>
      </c>
      <c r="E7" s="31" t="s">
        <v>37</v>
      </c>
    </row>
    <row r="8" spans="1:5" ht="102">
      <c r="A8" s="28" t="s">
        <v>38</v>
      </c>
      <c r="B8" s="31" t="s">
        <v>39</v>
      </c>
      <c r="C8" s="31" t="s">
        <v>40</v>
      </c>
      <c r="D8" s="31" t="s">
        <v>41</v>
      </c>
      <c r="E8" s="31" t="s">
        <v>42</v>
      </c>
    </row>
    <row r="9" spans="1:5" ht="51">
      <c r="A9" s="28" t="s">
        <v>43</v>
      </c>
      <c r="B9" s="31" t="s">
        <v>44</v>
      </c>
      <c r="C9" s="31" t="s">
        <v>45</v>
      </c>
      <c r="D9" s="31" t="s">
        <v>46</v>
      </c>
      <c r="E9" s="31" t="s">
        <v>47</v>
      </c>
    </row>
    <row r="10" spans="1:5" ht="119.1">
      <c r="A10" s="28" t="s">
        <v>48</v>
      </c>
      <c r="B10" s="31" t="s">
        <v>49</v>
      </c>
      <c r="C10" s="31" t="s">
        <v>50</v>
      </c>
      <c r="D10" s="31" t="s">
        <v>51</v>
      </c>
      <c r="E10" s="31" t="s">
        <v>52</v>
      </c>
    </row>
    <row r="11" spans="1:5" ht="68.099999999999994">
      <c r="A11" s="28" t="s">
        <v>53</v>
      </c>
      <c r="B11" s="31" t="s">
        <v>54</v>
      </c>
      <c r="C11" s="31" t="s">
        <v>55</v>
      </c>
      <c r="D11" s="32" t="s">
        <v>56</v>
      </c>
      <c r="E11" s="31" t="s">
        <v>57</v>
      </c>
    </row>
    <row r="12" spans="1:5" ht="119.1">
      <c r="A12" s="28" t="s">
        <v>58</v>
      </c>
      <c r="B12" s="31" t="s">
        <v>39</v>
      </c>
      <c r="C12" s="31" t="s">
        <v>59</v>
      </c>
      <c r="D12" s="31" t="s">
        <v>41</v>
      </c>
      <c r="E12" s="31" t="s">
        <v>60</v>
      </c>
    </row>
    <row r="13" spans="1:5" ht="51">
      <c r="A13" s="28" t="s">
        <v>61</v>
      </c>
      <c r="B13" s="31" t="s">
        <v>62</v>
      </c>
      <c r="C13" s="31" t="s">
        <v>63</v>
      </c>
      <c r="D13" s="31" t="s">
        <v>64</v>
      </c>
      <c r="E13" s="31" t="s">
        <v>65</v>
      </c>
    </row>
    <row r="14" spans="1:5" ht="102">
      <c r="A14" s="28" t="s">
        <v>66</v>
      </c>
      <c r="B14" s="31" t="s">
        <v>67</v>
      </c>
      <c r="C14" s="31" t="s">
        <v>68</v>
      </c>
      <c r="D14" s="31" t="s">
        <v>69</v>
      </c>
      <c r="E14" s="31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B0DF-3CB5-5743-8AF1-2030788E6C7E}">
  <dimension ref="A1:F24"/>
  <sheetViews>
    <sheetView tabSelected="1" zoomScale="156" workbookViewId="0">
      <selection activeCell="C12" sqref="C12"/>
    </sheetView>
  </sheetViews>
  <sheetFormatPr defaultColWidth="11" defaultRowHeight="15.95"/>
  <cols>
    <col min="1" max="1" width="24.625" customWidth="1"/>
    <col min="2" max="2" width="18.875" style="33" customWidth="1"/>
    <col min="3" max="5" width="17.375" style="33" customWidth="1"/>
    <col min="6" max="6" width="25.375" customWidth="1"/>
  </cols>
  <sheetData>
    <row r="1" spans="1:6">
      <c r="A1" s="40" t="s">
        <v>71</v>
      </c>
      <c r="B1" s="40"/>
      <c r="C1" s="40"/>
      <c r="D1" s="40"/>
      <c r="E1" s="40"/>
    </row>
    <row r="2" spans="1:6">
      <c r="A2" s="36" t="s">
        <v>72</v>
      </c>
      <c r="B2" s="37" t="s">
        <v>13</v>
      </c>
      <c r="C2" s="37" t="s">
        <v>73</v>
      </c>
      <c r="D2" s="37" t="s">
        <v>74</v>
      </c>
      <c r="E2" s="37" t="s">
        <v>16</v>
      </c>
    </row>
    <row r="3" spans="1:6">
      <c r="A3" s="38" t="s">
        <v>75</v>
      </c>
      <c r="B3" s="39" t="s">
        <v>23</v>
      </c>
      <c r="C3" s="39" t="s">
        <v>76</v>
      </c>
      <c r="D3" s="39" t="s">
        <v>25</v>
      </c>
      <c r="E3" s="39" t="s">
        <v>26</v>
      </c>
    </row>
    <row r="4" spans="1:6" ht="20.100000000000001" customHeight="1">
      <c r="A4" s="38" t="s">
        <v>77</v>
      </c>
      <c r="B4" s="39" t="s">
        <v>23</v>
      </c>
      <c r="C4" s="39" t="s">
        <v>76</v>
      </c>
      <c r="D4" s="39" t="s">
        <v>76</v>
      </c>
      <c r="E4" s="39" t="s">
        <v>25</v>
      </c>
    </row>
    <row r="5" spans="1:6">
      <c r="A5" s="38" t="s">
        <v>78</v>
      </c>
      <c r="B5" s="39" t="s">
        <v>79</v>
      </c>
      <c r="C5" s="39" t="s">
        <v>80</v>
      </c>
      <c r="D5" s="39" t="s">
        <v>81</v>
      </c>
      <c r="E5" s="39" t="s">
        <v>82</v>
      </c>
    </row>
    <row r="6" spans="1:6">
      <c r="A6" s="38" t="s">
        <v>29</v>
      </c>
      <c r="B6" s="39" t="s">
        <v>25</v>
      </c>
      <c r="C6" s="39" t="s">
        <v>76</v>
      </c>
      <c r="D6" s="39" t="s">
        <v>23</v>
      </c>
      <c r="E6" s="39" t="s">
        <v>30</v>
      </c>
    </row>
    <row r="7" spans="1:6">
      <c r="A7" s="38" t="s">
        <v>83</v>
      </c>
      <c r="B7" s="39" t="s">
        <v>84</v>
      </c>
      <c r="C7" s="39" t="s">
        <v>31</v>
      </c>
      <c r="D7" s="39" t="s">
        <v>85</v>
      </c>
      <c r="E7" s="39" t="s">
        <v>86</v>
      </c>
    </row>
    <row r="8" spans="1:6">
      <c r="A8" s="38" t="s">
        <v>87</v>
      </c>
      <c r="B8" s="39">
        <v>500</v>
      </c>
      <c r="C8" s="39">
        <v>200</v>
      </c>
      <c r="D8" s="39">
        <v>100</v>
      </c>
      <c r="E8" s="39">
        <v>50</v>
      </c>
    </row>
    <row r="9" spans="1:6">
      <c r="A9" s="34"/>
      <c r="B9" s="35"/>
      <c r="C9" s="35"/>
      <c r="D9" s="35"/>
      <c r="E9" s="35"/>
    </row>
    <row r="10" spans="1:6">
      <c r="A10" s="41" t="s">
        <v>88</v>
      </c>
      <c r="B10" s="41"/>
    </row>
    <row r="11" spans="1:6">
      <c r="A11" s="36" t="s">
        <v>72</v>
      </c>
      <c r="B11" s="37" t="s">
        <v>89</v>
      </c>
      <c r="C11" s="35"/>
      <c r="D11" s="35"/>
      <c r="E11" s="35"/>
      <c r="F11" s="34"/>
    </row>
    <row r="12" spans="1:6">
      <c r="A12" s="38" t="s">
        <v>90</v>
      </c>
      <c r="B12" s="39" t="s">
        <v>91</v>
      </c>
    </row>
    <row r="13" spans="1:6">
      <c r="A13" s="38" t="s">
        <v>92</v>
      </c>
      <c r="B13" s="39" t="s">
        <v>93</v>
      </c>
    </row>
    <row r="14" spans="1:6">
      <c r="A14" s="38" t="s">
        <v>94</v>
      </c>
      <c r="B14" s="39" t="s">
        <v>95</v>
      </c>
    </row>
    <row r="15" spans="1:6">
      <c r="A15" s="38" t="s">
        <v>96</v>
      </c>
      <c r="B15" s="39" t="s">
        <v>97</v>
      </c>
    </row>
    <row r="16" spans="1:6">
      <c r="A16" s="38" t="s">
        <v>98</v>
      </c>
      <c r="B16" s="39" t="s">
        <v>99</v>
      </c>
    </row>
    <row r="17" spans="1:2">
      <c r="A17" s="34"/>
      <c r="B17" s="35"/>
    </row>
    <row r="18" spans="1:2">
      <c r="A18" s="40" t="s">
        <v>100</v>
      </c>
      <c r="B18" s="40"/>
    </row>
    <row r="19" spans="1:2">
      <c r="A19" s="36" t="s">
        <v>72</v>
      </c>
      <c r="B19" s="37" t="s">
        <v>89</v>
      </c>
    </row>
    <row r="20" spans="1:2" ht="21" customHeight="1">
      <c r="A20" s="38" t="s">
        <v>17</v>
      </c>
      <c r="B20" s="39" t="s">
        <v>101</v>
      </c>
    </row>
    <row r="21" spans="1:2">
      <c r="A21" s="38" t="s">
        <v>102</v>
      </c>
      <c r="B21" s="39" t="s">
        <v>103</v>
      </c>
    </row>
    <row r="22" spans="1:2">
      <c r="A22" s="38" t="s">
        <v>104</v>
      </c>
      <c r="B22" s="39" t="s">
        <v>105</v>
      </c>
    </row>
    <row r="23" spans="1:2">
      <c r="A23" s="38" t="s">
        <v>106</v>
      </c>
      <c r="B23" s="39" t="s">
        <v>107</v>
      </c>
    </row>
    <row r="24" spans="1:2">
      <c r="A24" s="38" t="s">
        <v>108</v>
      </c>
      <c r="B24" s="39" t="s">
        <v>109</v>
      </c>
    </row>
  </sheetData>
  <mergeCells count="3">
    <mergeCell ref="A1:E1"/>
    <mergeCell ref="A10:B10"/>
    <mergeCell ref="A18:B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FE67-06E7-F445-BB50-9D1439BC8D55}">
  <dimension ref="A1:E9"/>
  <sheetViews>
    <sheetView workbookViewId="0">
      <selection activeCell="E4" sqref="E4"/>
    </sheetView>
  </sheetViews>
  <sheetFormatPr defaultColWidth="10.875" defaultRowHeight="18"/>
  <cols>
    <col min="1" max="1" width="17.125" style="21" customWidth="1"/>
    <col min="2" max="2" width="41.5" style="22" customWidth="1"/>
    <col min="3" max="5" width="34" style="22" customWidth="1"/>
    <col min="6" max="16384" width="10.875" style="22"/>
  </cols>
  <sheetData>
    <row r="1" spans="1:5" ht="51.95" customHeight="1">
      <c r="A1" s="24" t="s">
        <v>110</v>
      </c>
      <c r="B1" s="23" t="s">
        <v>12</v>
      </c>
      <c r="C1" s="23" t="s">
        <v>111</v>
      </c>
      <c r="D1" s="23" t="s">
        <v>112</v>
      </c>
      <c r="E1" s="23" t="s">
        <v>113</v>
      </c>
    </row>
    <row r="2" spans="1:5" ht="51.95" customHeight="1">
      <c r="A2" s="24">
        <v>1</v>
      </c>
      <c r="B2" s="23" t="s">
        <v>13</v>
      </c>
      <c r="C2" s="23" t="s">
        <v>114</v>
      </c>
      <c r="D2" s="23" t="s">
        <v>115</v>
      </c>
      <c r="E2" s="23" t="s">
        <v>114</v>
      </c>
    </row>
    <row r="3" spans="1:5" ht="51.95" customHeight="1">
      <c r="A3" s="24">
        <v>2</v>
      </c>
      <c r="B3" s="23" t="s">
        <v>73</v>
      </c>
      <c r="C3" s="23" t="s">
        <v>115</v>
      </c>
      <c r="D3" s="23" t="s">
        <v>114</v>
      </c>
      <c r="E3" s="23" t="s">
        <v>115</v>
      </c>
    </row>
    <row r="4" spans="1:5" ht="51.95" customHeight="1">
      <c r="A4" s="24">
        <v>3</v>
      </c>
      <c r="B4" s="23" t="s">
        <v>74</v>
      </c>
      <c r="C4" s="23" t="s">
        <v>116</v>
      </c>
      <c r="D4" s="23" t="s">
        <v>115</v>
      </c>
      <c r="E4" s="23" t="s">
        <v>114</v>
      </c>
    </row>
    <row r="5" spans="1:5" ht="51.95" customHeight="1">
      <c r="A5" s="24">
        <v>4</v>
      </c>
      <c r="B5" s="23" t="s">
        <v>16</v>
      </c>
      <c r="C5" s="23" t="s">
        <v>116</v>
      </c>
      <c r="D5" s="23" t="s">
        <v>115</v>
      </c>
      <c r="E5" s="23" t="s">
        <v>114</v>
      </c>
    </row>
    <row r="7" spans="1:5" ht="39.950000000000003" customHeight="1">
      <c r="A7" s="42" t="s">
        <v>117</v>
      </c>
      <c r="B7" s="25" t="s">
        <v>118</v>
      </c>
    </row>
    <row r="8" spans="1:5" ht="39.950000000000003" customHeight="1">
      <c r="A8" s="42"/>
      <c r="B8" s="25" t="s">
        <v>119</v>
      </c>
    </row>
    <row r="9" spans="1:5" ht="39.950000000000003" customHeight="1">
      <c r="A9" s="42"/>
      <c r="B9" s="25" t="s">
        <v>120</v>
      </c>
    </row>
  </sheetData>
  <mergeCells count="1">
    <mergeCell ref="A7:A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A602F-627C-924C-A446-4A2CF0120CBC}">
  <dimension ref="A1:C57"/>
  <sheetViews>
    <sheetView zoomScale="113" workbookViewId="0">
      <pane ySplit="1" topLeftCell="A33" activePane="bottomLeft" state="frozen"/>
      <selection pane="bottomLeft" activeCell="A49" sqref="A49:C49"/>
    </sheetView>
  </sheetViews>
  <sheetFormatPr defaultColWidth="10.875" defaultRowHeight="15.95"/>
  <cols>
    <col min="1" max="1" width="8" style="1" customWidth="1"/>
    <col min="2" max="2" width="50.375" style="2" customWidth="1"/>
    <col min="3" max="3" width="18.875" style="3" bestFit="1" customWidth="1"/>
    <col min="4" max="4" width="17.5" style="2" customWidth="1"/>
    <col min="5" max="16384" width="10.875" style="2"/>
  </cols>
  <sheetData>
    <row r="1" spans="1:3" s="7" customFormat="1" ht="21" customHeight="1">
      <c r="A1" s="10" t="s">
        <v>121</v>
      </c>
      <c r="B1" s="11" t="s">
        <v>122</v>
      </c>
      <c r="C1" s="10" t="s">
        <v>123</v>
      </c>
    </row>
    <row r="2" spans="1:3" s="7" customFormat="1" ht="21" customHeight="1">
      <c r="A2" s="52" t="s">
        <v>124</v>
      </c>
      <c r="B2" s="53"/>
      <c r="C2" s="54"/>
    </row>
    <row r="3" spans="1:3" s="7" customFormat="1">
      <c r="A3" s="46">
        <v>1</v>
      </c>
      <c r="B3" s="12" t="s">
        <v>125</v>
      </c>
      <c r="C3" s="13" t="s">
        <v>126</v>
      </c>
    </row>
    <row r="4" spans="1:3" s="7" customFormat="1">
      <c r="A4" s="47"/>
      <c r="B4" s="12" t="s">
        <v>127</v>
      </c>
      <c r="C4" s="13" t="s">
        <v>126</v>
      </c>
    </row>
    <row r="5" spans="1:3" s="7" customFormat="1">
      <c r="A5" s="47"/>
      <c r="B5" s="12" t="s">
        <v>128</v>
      </c>
      <c r="C5" s="13" t="s">
        <v>126</v>
      </c>
    </row>
    <row r="6" spans="1:3" s="7" customFormat="1">
      <c r="A6" s="48"/>
      <c r="B6" s="12" t="s">
        <v>129</v>
      </c>
      <c r="C6" s="13"/>
    </row>
    <row r="7" spans="1:3" s="5" customFormat="1" ht="21" customHeight="1">
      <c r="A7" s="45" t="s">
        <v>130</v>
      </c>
      <c r="B7" s="45"/>
      <c r="C7" s="45"/>
    </row>
    <row r="8" spans="1:3" s="7" customFormat="1">
      <c r="A8" s="46">
        <v>2</v>
      </c>
      <c r="B8" s="16" t="s">
        <v>131</v>
      </c>
      <c r="C8" s="13"/>
    </row>
    <row r="9" spans="1:3" s="7" customFormat="1">
      <c r="A9" s="47"/>
      <c r="B9" s="16" t="s">
        <v>132</v>
      </c>
      <c r="C9" s="13"/>
    </row>
    <row r="10" spans="1:3" s="7" customFormat="1">
      <c r="A10" s="47"/>
      <c r="B10" s="4" t="s">
        <v>133</v>
      </c>
      <c r="C10" s="13"/>
    </row>
    <row r="11" spans="1:3" s="7" customFormat="1">
      <c r="A11" s="48"/>
      <c r="B11" s="4" t="s">
        <v>134</v>
      </c>
      <c r="C11" s="13" t="s">
        <v>126</v>
      </c>
    </row>
    <row r="12" spans="1:3" s="5" customFormat="1" ht="21" customHeight="1">
      <c r="A12" s="45" t="s">
        <v>135</v>
      </c>
      <c r="B12" s="45"/>
      <c r="C12" s="45"/>
    </row>
    <row r="13" spans="1:3">
      <c r="A13" s="43">
        <v>3</v>
      </c>
      <c r="B13" s="8" t="s">
        <v>136</v>
      </c>
      <c r="C13" s="9" t="s">
        <v>126</v>
      </c>
    </row>
    <row r="14" spans="1:3">
      <c r="A14" s="43"/>
      <c r="B14" s="8" t="s">
        <v>137</v>
      </c>
      <c r="C14" s="9" t="s">
        <v>126</v>
      </c>
    </row>
    <row r="15" spans="1:3">
      <c r="A15" s="43"/>
      <c r="B15" s="8" t="s">
        <v>138</v>
      </c>
      <c r="C15" s="9" t="s">
        <v>126</v>
      </c>
    </row>
    <row r="16" spans="1:3">
      <c r="A16" s="43"/>
      <c r="B16" s="8" t="s">
        <v>139</v>
      </c>
      <c r="C16" s="9" t="s">
        <v>126</v>
      </c>
    </row>
    <row r="17" spans="1:3">
      <c r="A17" s="43"/>
      <c r="B17" s="8" t="s">
        <v>140</v>
      </c>
      <c r="C17" s="9" t="s">
        <v>126</v>
      </c>
    </row>
    <row r="18" spans="1:3">
      <c r="A18" s="43"/>
      <c r="B18" s="8" t="s">
        <v>141</v>
      </c>
      <c r="C18" s="9" t="s">
        <v>126</v>
      </c>
    </row>
    <row r="19" spans="1:3" s="6" customFormat="1" ht="26.1" customHeight="1">
      <c r="A19" s="56" t="s">
        <v>142</v>
      </c>
      <c r="B19" s="56"/>
      <c r="C19" s="56"/>
    </row>
    <row r="20" spans="1:3">
      <c r="A20" s="60">
        <v>4</v>
      </c>
      <c r="B20" s="8" t="s">
        <v>143</v>
      </c>
      <c r="C20" s="9" t="s">
        <v>126</v>
      </c>
    </row>
    <row r="21" spans="1:3">
      <c r="A21" s="60"/>
      <c r="B21" s="8" t="s">
        <v>144</v>
      </c>
      <c r="C21" s="9" t="s">
        <v>145</v>
      </c>
    </row>
    <row r="22" spans="1:3">
      <c r="A22" s="60"/>
      <c r="B22" s="8" t="s">
        <v>146</v>
      </c>
      <c r="C22" s="9" t="s">
        <v>147</v>
      </c>
    </row>
    <row r="23" spans="1:3" s="6" customFormat="1" ht="26.1" customHeight="1">
      <c r="A23" s="57" t="s">
        <v>148</v>
      </c>
      <c r="B23" s="57"/>
      <c r="C23" s="57"/>
    </row>
    <row r="24" spans="1:3">
      <c r="A24" s="43">
        <v>5</v>
      </c>
      <c r="B24" s="8" t="s">
        <v>149</v>
      </c>
      <c r="C24" s="9" t="s">
        <v>150</v>
      </c>
    </row>
    <row r="25" spans="1:3">
      <c r="A25" s="43"/>
      <c r="B25" s="8" t="s">
        <v>151</v>
      </c>
      <c r="C25" s="9" t="s">
        <v>152</v>
      </c>
    </row>
    <row r="26" spans="1:3">
      <c r="A26" s="43"/>
      <c r="B26" s="8" t="s">
        <v>153</v>
      </c>
      <c r="C26" s="9">
        <v>4</v>
      </c>
    </row>
    <row r="27" spans="1:3">
      <c r="A27" s="43"/>
      <c r="B27" s="8" t="s">
        <v>154</v>
      </c>
      <c r="C27" s="9" t="s">
        <v>126</v>
      </c>
    </row>
    <row r="28" spans="1:3">
      <c r="A28" s="43"/>
      <c r="B28" s="8" t="s">
        <v>155</v>
      </c>
      <c r="C28" s="9" t="s">
        <v>126</v>
      </c>
    </row>
    <row r="29" spans="1:3">
      <c r="A29" s="43"/>
      <c r="B29" s="8" t="s">
        <v>156</v>
      </c>
      <c r="C29" s="9" t="s">
        <v>157</v>
      </c>
    </row>
    <row r="30" spans="1:3" s="6" customFormat="1" ht="26.1" customHeight="1">
      <c r="A30" s="58" t="s">
        <v>158</v>
      </c>
      <c r="B30" s="58"/>
      <c r="C30" s="58"/>
    </row>
    <row r="31" spans="1:3">
      <c r="A31" s="43">
        <v>6</v>
      </c>
      <c r="B31" s="8" t="s">
        <v>159</v>
      </c>
      <c r="C31" s="9" t="s">
        <v>160</v>
      </c>
    </row>
    <row r="32" spans="1:3">
      <c r="A32" s="43"/>
      <c r="B32" s="8" t="s">
        <v>161</v>
      </c>
      <c r="C32" s="9" t="s">
        <v>160</v>
      </c>
    </row>
    <row r="33" spans="1:3">
      <c r="A33" s="43"/>
      <c r="B33" s="8" t="s">
        <v>162</v>
      </c>
      <c r="C33" s="9" t="s">
        <v>126</v>
      </c>
    </row>
    <row r="34" spans="1:3">
      <c r="A34" s="43"/>
      <c r="B34" s="8" t="s">
        <v>163</v>
      </c>
      <c r="C34" s="9" t="s">
        <v>126</v>
      </c>
    </row>
    <row r="35" spans="1:3">
      <c r="A35" s="43"/>
      <c r="B35" s="8" t="s">
        <v>164</v>
      </c>
      <c r="C35" s="9" t="s">
        <v>165</v>
      </c>
    </row>
    <row r="36" spans="1:3">
      <c r="A36" s="43"/>
      <c r="B36" s="8" t="s">
        <v>166</v>
      </c>
      <c r="C36" s="9" t="s">
        <v>167</v>
      </c>
    </row>
    <row r="37" spans="1:3">
      <c r="A37" s="43"/>
      <c r="B37" s="8" t="s">
        <v>168</v>
      </c>
      <c r="C37" s="9" t="s">
        <v>126</v>
      </c>
    </row>
    <row r="38" spans="1:3">
      <c r="A38" s="43"/>
      <c r="B38" s="8" t="s">
        <v>169</v>
      </c>
      <c r="C38" s="9" t="s">
        <v>126</v>
      </c>
    </row>
    <row r="39" spans="1:3" ht="18.95" customHeight="1">
      <c r="A39" s="43"/>
      <c r="B39" s="8" t="s">
        <v>170</v>
      </c>
      <c r="C39" s="9" t="s">
        <v>171</v>
      </c>
    </row>
    <row r="40" spans="1:3" s="6" customFormat="1" ht="27" customHeight="1">
      <c r="A40" s="59" t="s">
        <v>172</v>
      </c>
      <c r="B40" s="59"/>
      <c r="C40" s="59"/>
    </row>
    <row r="41" spans="1:3">
      <c r="A41" s="43">
        <v>7</v>
      </c>
      <c r="B41" s="8" t="s">
        <v>173</v>
      </c>
      <c r="C41" s="9" t="s">
        <v>174</v>
      </c>
    </row>
    <row r="42" spans="1:3">
      <c r="A42" s="43"/>
      <c r="B42" s="8" t="s">
        <v>175</v>
      </c>
      <c r="C42" s="9" t="s">
        <v>176</v>
      </c>
    </row>
    <row r="43" spans="1:3">
      <c r="A43" s="43"/>
      <c r="B43" s="8" t="s">
        <v>177</v>
      </c>
      <c r="C43" s="9" t="s">
        <v>176</v>
      </c>
    </row>
    <row r="44" spans="1:3" s="6" customFormat="1" ht="26.1" customHeight="1">
      <c r="A44" s="44" t="s">
        <v>178</v>
      </c>
      <c r="B44" s="44"/>
      <c r="C44" s="44"/>
    </row>
    <row r="45" spans="1:3">
      <c r="A45" s="43">
        <v>8</v>
      </c>
      <c r="B45" s="8" t="s">
        <v>179</v>
      </c>
      <c r="C45" s="9" t="s">
        <v>126</v>
      </c>
    </row>
    <row r="46" spans="1:3">
      <c r="A46" s="43"/>
      <c r="B46" s="8" t="s">
        <v>180</v>
      </c>
      <c r="C46" s="9" t="s">
        <v>126</v>
      </c>
    </row>
    <row r="47" spans="1:3">
      <c r="A47" s="43"/>
      <c r="B47" s="8" t="s">
        <v>181</v>
      </c>
      <c r="C47" s="9" t="s">
        <v>126</v>
      </c>
    </row>
    <row r="48" spans="1:3">
      <c r="A48" s="43"/>
      <c r="B48" s="8" t="s">
        <v>182</v>
      </c>
      <c r="C48" s="9" t="s">
        <v>126</v>
      </c>
    </row>
    <row r="49" spans="1:3" s="6" customFormat="1" ht="24.95" customHeight="1">
      <c r="A49" s="50" t="s">
        <v>183</v>
      </c>
      <c r="B49" s="50"/>
      <c r="C49" s="50"/>
    </row>
    <row r="50" spans="1:3">
      <c r="A50" s="43">
        <v>9</v>
      </c>
      <c r="B50" s="8" t="s">
        <v>184</v>
      </c>
      <c r="C50" s="9" t="s">
        <v>126</v>
      </c>
    </row>
    <row r="51" spans="1:3">
      <c r="A51" s="43"/>
      <c r="B51" s="8" t="s">
        <v>185</v>
      </c>
      <c r="C51" s="9" t="s">
        <v>126</v>
      </c>
    </row>
    <row r="52" spans="1:3">
      <c r="A52" s="43"/>
      <c r="B52" s="8" t="s">
        <v>186</v>
      </c>
      <c r="C52" s="9" t="s">
        <v>126</v>
      </c>
    </row>
    <row r="53" spans="1:3">
      <c r="A53" s="43"/>
      <c r="B53" s="8" t="s">
        <v>187</v>
      </c>
      <c r="C53" s="9" t="s">
        <v>126</v>
      </c>
    </row>
    <row r="54" spans="1:3">
      <c r="A54" s="43"/>
      <c r="B54" s="8" t="s">
        <v>188</v>
      </c>
      <c r="C54" s="9" t="s">
        <v>126</v>
      </c>
    </row>
    <row r="55" spans="1:3" ht="39" hidden="1" customHeight="1">
      <c r="A55" s="51" t="s">
        <v>189</v>
      </c>
      <c r="B55" s="51"/>
      <c r="C55" s="14">
        <v>6000</v>
      </c>
    </row>
    <row r="56" spans="1:3" ht="39" hidden="1" customHeight="1">
      <c r="A56" s="55" t="s">
        <v>190</v>
      </c>
      <c r="B56" s="55"/>
      <c r="C56" s="14">
        <v>4000</v>
      </c>
    </row>
    <row r="57" spans="1:3" ht="21" hidden="1" customHeight="1">
      <c r="A57" s="49" t="s">
        <v>191</v>
      </c>
      <c r="B57" s="49"/>
      <c r="C57" s="15">
        <f>SUM(C55:C56)</f>
        <v>10000</v>
      </c>
    </row>
  </sheetData>
  <mergeCells count="21">
    <mergeCell ref="A57:B57"/>
    <mergeCell ref="A49:C49"/>
    <mergeCell ref="A55:B55"/>
    <mergeCell ref="A2:C2"/>
    <mergeCell ref="A56:B56"/>
    <mergeCell ref="A12:C12"/>
    <mergeCell ref="A19:C19"/>
    <mergeCell ref="A23:C23"/>
    <mergeCell ref="A30:C30"/>
    <mergeCell ref="A40:C40"/>
    <mergeCell ref="A20:A22"/>
    <mergeCell ref="A24:A29"/>
    <mergeCell ref="A31:A39"/>
    <mergeCell ref="A45:A48"/>
    <mergeCell ref="A41:A43"/>
    <mergeCell ref="A50:A54"/>
    <mergeCell ref="A44:C44"/>
    <mergeCell ref="A13:A18"/>
    <mergeCell ref="A7:C7"/>
    <mergeCell ref="A3:A6"/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Venpep</dc:creator>
  <cp:keywords/>
  <dc:description/>
  <cp:lastModifiedBy>Prashanth S</cp:lastModifiedBy>
  <cp:revision/>
  <dcterms:created xsi:type="dcterms:W3CDTF">2024-02-12T05:03:52Z</dcterms:created>
  <dcterms:modified xsi:type="dcterms:W3CDTF">2026-06-30T11:17:46Z</dcterms:modified>
  <cp:category/>
  <cp:contentStatus/>
</cp:coreProperties>
</file>