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npep/Documents/Digifyce/Sales /Proposals/Clenzyme/"/>
    </mc:Choice>
  </mc:AlternateContent>
  <xr:revisionPtr revIDLastSave="0" documentId="13_ncr:1_{5F98156B-C4EE-0B45-90F0-A51DAC85139C}" xr6:coauthVersionLast="47" xr6:coauthVersionMax="47" xr10:uidLastSave="{00000000-0000-0000-0000-000000000000}"/>
  <bookViews>
    <workbookView xWindow="0" yWindow="500" windowWidth="27780" windowHeight="17500" xr2:uid="{D740BF68-9219-7646-967D-20B2E7DD71D0}"/>
  </bookViews>
  <sheets>
    <sheet name="Revenue_Projec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4" i="1"/>
  <c r="H14" i="1"/>
  <c r="G15" i="1"/>
  <c r="G14" i="1"/>
  <c r="F15" i="1"/>
  <c r="F14" i="1"/>
  <c r="E15" i="1"/>
  <c r="E14" i="1"/>
  <c r="D16" i="1" l="1"/>
  <c r="D12" i="1"/>
  <c r="I12" i="1" l="1"/>
  <c r="H12" i="1"/>
  <c r="G12" i="1"/>
  <c r="F12" i="1"/>
  <c r="E12" i="1"/>
  <c r="F16" i="1"/>
  <c r="E16" i="1"/>
  <c r="H15" i="1"/>
  <c r="H16" i="1" s="1"/>
  <c r="D18" i="1" l="1"/>
  <c r="D20" i="1" s="1"/>
  <c r="D22" i="1" s="1"/>
  <c r="H18" i="1"/>
  <c r="H20" i="1" s="1"/>
  <c r="H22" i="1" s="1"/>
  <c r="F18" i="1"/>
  <c r="F20" i="1" s="1"/>
  <c r="F22" i="1" s="1"/>
  <c r="I16" i="1"/>
  <c r="I18" i="1" s="1"/>
  <c r="G16" i="1"/>
  <c r="D24" i="1" l="1"/>
  <c r="F25" i="1"/>
  <c r="F26" i="1"/>
  <c r="F24" i="1"/>
  <c r="H25" i="1"/>
  <c r="H26" i="1"/>
  <c r="H24" i="1"/>
  <c r="D26" i="1"/>
  <c r="D25" i="1"/>
  <c r="I20" i="1"/>
  <c r="I22" i="1" s="1"/>
  <c r="E18" i="1"/>
  <c r="E20" i="1" s="1"/>
  <c r="E22" i="1" s="1"/>
  <c r="G18" i="1"/>
  <c r="G20" i="1" s="1"/>
  <c r="G22" i="1" s="1"/>
  <c r="E25" i="1" l="1"/>
  <c r="E24" i="1"/>
  <c r="E26" i="1"/>
  <c r="G25" i="1"/>
  <c r="G26" i="1"/>
  <c r="G24" i="1"/>
  <c r="I25" i="1"/>
  <c r="I26" i="1"/>
  <c r="I24" i="1"/>
</calcChain>
</file>

<file path=xl/sharedStrings.xml><?xml version="1.0" encoding="utf-8"?>
<sst xmlns="http://schemas.openxmlformats.org/spreadsheetml/2006/main" count="63" uniqueCount="45">
  <si>
    <t xml:space="preserve">Note: 
1. The below mentioned numbers are based on research &amp; previous experiences. It could vary based on situations. 
2. Taxes &amp; Manufacturing costs to be calculated at the end </t>
  </si>
  <si>
    <t xml:space="preserve">Expense Type </t>
  </si>
  <si>
    <t xml:space="preserve">Expense Category </t>
  </si>
  <si>
    <t xml:space="preserve">Recurring Type </t>
  </si>
  <si>
    <t>Retainers (Service Cost)</t>
  </si>
  <si>
    <t>Digital Retainer (Team Salary + Service Charges)</t>
  </si>
  <si>
    <t xml:space="preserve">Monthly </t>
  </si>
  <si>
    <t>Market Places &amp; Quick Commerce (Amazon, Instamart)</t>
  </si>
  <si>
    <t xml:space="preserve">Digital Spends </t>
  </si>
  <si>
    <t>Marketing Spends (Meta, Google, etc.,)</t>
  </si>
  <si>
    <t>Influencers (Nano, Micro, Mini, etc.,)</t>
  </si>
  <si>
    <t>Shoot Expenses (Models, Space Rent, etc.,)</t>
  </si>
  <si>
    <t xml:space="preserve">Shopify &amp; Apps </t>
  </si>
  <si>
    <t>MarTech Tools (Shopify, Retention, Features)</t>
  </si>
  <si>
    <t>Tools &amp; Tech</t>
  </si>
  <si>
    <t>AI Automations (WhatsApp, Email, Push, Reputation, etc.,)</t>
  </si>
  <si>
    <t>AI Applications (Creatives, Content, etc.,)</t>
  </si>
  <si>
    <t>Analytics (Data Decisions)</t>
  </si>
  <si>
    <t xml:space="preserve">Total Direct </t>
  </si>
  <si>
    <t>Direct Marketing Expenses (Total)</t>
  </si>
  <si>
    <t xml:space="preserve">Expected Revenue </t>
  </si>
  <si>
    <t>Expected Sales (Min)</t>
  </si>
  <si>
    <t>Expected Sales (Max)</t>
  </si>
  <si>
    <t>Expected Sales (Average)</t>
  </si>
  <si>
    <t>Expected Returns + Gateway Fees</t>
  </si>
  <si>
    <t>Returns + Gateway - 5% from overall Sales</t>
  </si>
  <si>
    <t>Monthly</t>
  </si>
  <si>
    <t xml:space="preserve">Final Sales Value </t>
  </si>
  <si>
    <t xml:space="preserve">Final Sales Value After - Returns + Gateway Charges </t>
  </si>
  <si>
    <t xml:space="preserve">Digifyce Incentives </t>
  </si>
  <si>
    <t>Digifyce Commissions (5%) Average Sales</t>
  </si>
  <si>
    <t xml:space="preserve">For Brand </t>
  </si>
  <si>
    <t>Final Value Expected in Hand (For Brand)</t>
  </si>
  <si>
    <t>Expected Items to be Sold / Customers Acquired 
(500 - Avg Order Value) (Min)</t>
  </si>
  <si>
    <t>Expected Items to be Sold / Customers Acquired 
(700 - Avg Order Value) (Max)</t>
  </si>
  <si>
    <t xml:space="preserve">Branding Expectations (Followers/ Fan Base)
Organic Growth </t>
  </si>
  <si>
    <t>&gt;2,000</t>
  </si>
  <si>
    <t>&gt;4000</t>
  </si>
  <si>
    <t>&gt;7500</t>
  </si>
  <si>
    <t>&gt;10000</t>
  </si>
  <si>
    <t>&gt;15000</t>
  </si>
  <si>
    <t>&gt;25000</t>
  </si>
  <si>
    <t xml:space="preserve">Technology Development </t>
  </si>
  <si>
    <t xml:space="preserve">Website Development </t>
  </si>
  <si>
    <t xml:space="preserve">OneTime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</si>
</sst>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&quot;₹&quot;* #,##0.00_);_(&quot;₹&quot;* \(#,##0.00\);_(&quot;₹&quot;* &quot;-&quot;??_);_(@_)"/>
    <numFmt numFmtId="165" formatCode="_ [$₹-4009]\ * #,##0_ ;_ [$₹-4009]\ * \-#,##0_ ;_ [$₹-4009]\ * &quot;-&quot;??_ ;_ @_ "/>
    <numFmt numFmtId="166" formatCode="_(* #,##0_);_(* \(#,##0\);_(* &quot;-&quot;??_);_(@_)"/>
    <numFmt numFmtId="167" formatCode="_(&quot;₹&quot;* #,##0_);_(&quot;₹&quot;* \(#,##0\);_(&quot;₹&quot;* &quot;-&quot;??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i/>
      <sz val="16"/>
      <color theme="1"/>
      <name val="Franklin Gothic Book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9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9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5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17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165" fontId="2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166" fontId="3" fillId="4" borderId="1" xfId="1" applyNumberFormat="1" applyFont="1" applyFill="1" applyBorder="1" applyAlignment="1">
      <alignment horizontal="center" vertical="center"/>
    </xf>
    <xf numFmtId="0" fontId="3" fillId="10" borderId="0" xfId="0" applyFont="1" applyFill="1" applyAlignment="1">
      <alignment horizontal="left" vertical="center"/>
    </xf>
    <xf numFmtId="0" fontId="3" fillId="10" borderId="0" xfId="0" applyFont="1" applyFill="1" applyAlignment="1">
      <alignment vertical="center"/>
    </xf>
    <xf numFmtId="167" fontId="3" fillId="10" borderId="0" xfId="2" applyNumberFormat="1" applyFont="1" applyFill="1" applyAlignment="1">
      <alignment horizontal="center" vertical="center"/>
    </xf>
    <xf numFmtId="0" fontId="2" fillId="10" borderId="0" xfId="0" applyFont="1" applyFill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/>
    </xf>
    <xf numFmtId="165" fontId="3" fillId="7" borderId="1" xfId="0" applyNumberFormat="1" applyFont="1" applyFill="1" applyBorder="1" applyAlignment="1">
      <alignment horizontal="center" vertical="center"/>
    </xf>
    <xf numFmtId="0" fontId="3" fillId="9" borderId="0" xfId="0" applyFont="1" applyFill="1" applyAlignment="1">
      <alignment horizontal="left" vertical="center" wrapText="1"/>
    </xf>
    <xf numFmtId="165" fontId="3" fillId="9" borderId="0" xfId="0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left" vertical="center" wrapText="1"/>
    </xf>
    <xf numFmtId="0" fontId="4" fillId="11" borderId="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73CE-560C-FD42-8058-3DC3982B2DF1}">
  <dimension ref="A1:AB31"/>
  <sheetViews>
    <sheetView tabSelected="1" topLeftCell="A7" zoomScale="90" zoomScaleNormal="90" workbookViewId="0">
      <pane xSplit="1" topLeftCell="B1" activePane="topRight" state="frozen"/>
      <selection pane="topRight" activeCell="B12" sqref="B12"/>
    </sheetView>
  </sheetViews>
  <sheetFormatPr defaultColWidth="10.875" defaultRowHeight="20.100000000000001"/>
  <cols>
    <col min="1" max="1" width="31.5" style="2" customWidth="1"/>
    <col min="2" max="2" width="65.625" style="6" bestFit="1" customWidth="1"/>
    <col min="3" max="3" width="19.625" style="6" customWidth="1"/>
    <col min="4" max="9" width="19.625" style="1" customWidth="1"/>
    <col min="10" max="28" width="10.875" style="5"/>
    <col min="29" max="16384" width="10.875" style="6"/>
  </cols>
  <sheetData>
    <row r="1" spans="1:28" ht="66.95" customHeight="1">
      <c r="A1" s="45" t="s">
        <v>0</v>
      </c>
      <c r="B1" s="46"/>
      <c r="C1" s="46"/>
      <c r="D1" s="46"/>
      <c r="E1" s="46"/>
      <c r="F1" s="46"/>
      <c r="G1" s="46"/>
      <c r="H1" s="46"/>
      <c r="I1" s="46"/>
    </row>
    <row r="2" spans="1:28" s="4" customFormat="1" ht="27" customHeight="1">
      <c r="A2" s="10" t="s">
        <v>1</v>
      </c>
      <c r="B2" s="11" t="s">
        <v>2</v>
      </c>
      <c r="C2" s="11" t="s">
        <v>3</v>
      </c>
      <c r="D2" s="12">
        <v>46023</v>
      </c>
      <c r="E2" s="12">
        <v>46054</v>
      </c>
      <c r="F2" s="12">
        <v>46082</v>
      </c>
      <c r="G2" s="12">
        <v>46113</v>
      </c>
      <c r="H2" s="12">
        <v>46143</v>
      </c>
      <c r="I2" s="12">
        <v>46174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30.95" customHeight="1">
      <c r="A3" s="51" t="s">
        <v>4</v>
      </c>
      <c r="B3" s="13" t="s">
        <v>5</v>
      </c>
      <c r="C3" s="13" t="s">
        <v>6</v>
      </c>
      <c r="D3" s="14">
        <v>75000</v>
      </c>
      <c r="E3" s="14">
        <v>75000</v>
      </c>
      <c r="F3" s="14">
        <v>75000</v>
      </c>
      <c r="G3" s="14">
        <v>75000</v>
      </c>
      <c r="H3" s="14">
        <v>75000</v>
      </c>
      <c r="I3" s="14">
        <v>75000</v>
      </c>
    </row>
    <row r="4" spans="1:28" ht="30.95" customHeight="1">
      <c r="A4" s="51"/>
      <c r="B4" s="13" t="s">
        <v>7</v>
      </c>
      <c r="C4" s="13" t="s">
        <v>6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</row>
    <row r="5" spans="1:28" ht="30.95" customHeight="1">
      <c r="A5" s="49" t="s">
        <v>8</v>
      </c>
      <c r="B5" s="15" t="s">
        <v>9</v>
      </c>
      <c r="C5" s="15" t="s">
        <v>6</v>
      </c>
      <c r="D5" s="16">
        <v>90000</v>
      </c>
      <c r="E5" s="16">
        <v>90000</v>
      </c>
      <c r="F5" s="16">
        <v>120000</v>
      </c>
      <c r="G5" s="16">
        <v>150000</v>
      </c>
      <c r="H5" s="16">
        <v>180000</v>
      </c>
      <c r="I5" s="16">
        <v>200000</v>
      </c>
    </row>
    <row r="6" spans="1:28" ht="30.95" customHeight="1">
      <c r="A6" s="49"/>
      <c r="B6" s="15" t="s">
        <v>10</v>
      </c>
      <c r="C6" s="15" t="s">
        <v>6</v>
      </c>
      <c r="D6" s="16">
        <v>15000</v>
      </c>
      <c r="E6" s="16">
        <v>20000</v>
      </c>
      <c r="F6" s="16">
        <v>30000</v>
      </c>
      <c r="G6" s="16">
        <v>50000</v>
      </c>
      <c r="H6" s="16">
        <v>50000</v>
      </c>
      <c r="I6" s="16">
        <v>50000</v>
      </c>
    </row>
    <row r="7" spans="1:28" ht="30.95" customHeight="1">
      <c r="A7" s="49"/>
      <c r="B7" s="15" t="s">
        <v>11</v>
      </c>
      <c r="C7" s="15" t="s">
        <v>6</v>
      </c>
      <c r="D7" s="16">
        <v>0</v>
      </c>
      <c r="E7" s="16">
        <v>0</v>
      </c>
      <c r="F7" s="16">
        <v>0</v>
      </c>
      <c r="G7" s="16">
        <v>10000</v>
      </c>
      <c r="H7" s="16">
        <v>10000</v>
      </c>
      <c r="I7" s="16">
        <v>10000</v>
      </c>
    </row>
    <row r="8" spans="1:28" ht="30.95" customHeight="1">
      <c r="A8" s="17" t="s">
        <v>12</v>
      </c>
      <c r="B8" s="18" t="s">
        <v>13</v>
      </c>
      <c r="C8" s="18" t="s">
        <v>6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</row>
    <row r="9" spans="1:28" ht="30.95" customHeight="1">
      <c r="A9" s="52" t="s">
        <v>14</v>
      </c>
      <c r="B9" s="20" t="s">
        <v>15</v>
      </c>
      <c r="C9" s="20" t="s">
        <v>6</v>
      </c>
      <c r="D9" s="21">
        <v>10000</v>
      </c>
      <c r="E9" s="21">
        <v>10000</v>
      </c>
      <c r="F9" s="21">
        <v>10000</v>
      </c>
      <c r="G9" s="21">
        <v>10000</v>
      </c>
      <c r="H9" s="21">
        <v>10000</v>
      </c>
      <c r="I9" s="21">
        <v>10000</v>
      </c>
    </row>
    <row r="10" spans="1:28" ht="30.95" customHeight="1">
      <c r="A10" s="52"/>
      <c r="B10" s="20" t="s">
        <v>16</v>
      </c>
      <c r="C10" s="20" t="s">
        <v>6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5000</v>
      </c>
    </row>
    <row r="11" spans="1:28" ht="30.95" customHeight="1">
      <c r="A11" s="52"/>
      <c r="B11" s="20" t="s">
        <v>17</v>
      </c>
      <c r="C11" s="20" t="s">
        <v>6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5000</v>
      </c>
    </row>
    <row r="12" spans="1:28" s="4" customFormat="1" ht="30.95" customHeight="1">
      <c r="A12" s="22" t="s">
        <v>18</v>
      </c>
      <c r="B12" s="23" t="s">
        <v>19</v>
      </c>
      <c r="C12" s="23" t="s">
        <v>6</v>
      </c>
      <c r="D12" s="24">
        <f>SUM(D3:D11)</f>
        <v>190000</v>
      </c>
      <c r="E12" s="24">
        <f t="shared" ref="E12:I12" si="0">SUM(E3:E11)</f>
        <v>195000</v>
      </c>
      <c r="F12" s="24">
        <f t="shared" si="0"/>
        <v>235000</v>
      </c>
      <c r="G12" s="24">
        <f t="shared" si="0"/>
        <v>295000</v>
      </c>
      <c r="H12" s="24">
        <f t="shared" si="0"/>
        <v>325000</v>
      </c>
      <c r="I12" s="24">
        <f t="shared" si="0"/>
        <v>355000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27.95" customHeight="1">
      <c r="A13" s="48"/>
      <c r="B13" s="48"/>
      <c r="C13" s="48"/>
      <c r="D13" s="48"/>
      <c r="E13" s="48"/>
      <c r="F13" s="48"/>
      <c r="G13" s="48"/>
      <c r="H13" s="48"/>
      <c r="I13" s="48"/>
    </row>
    <row r="14" spans="1:28" s="8" customFormat="1" ht="30.95" customHeight="1">
      <c r="A14" s="47" t="s">
        <v>20</v>
      </c>
      <c r="B14" s="25" t="s">
        <v>21</v>
      </c>
      <c r="C14" s="25" t="s">
        <v>6</v>
      </c>
      <c r="D14" s="26">
        <v>450000</v>
      </c>
      <c r="E14" s="26">
        <f>(SUM(E$5:E$9))*6</f>
        <v>720000</v>
      </c>
      <c r="F14" s="26">
        <f>(SUM(F$5:F$9))*6</f>
        <v>960000</v>
      </c>
      <c r="G14" s="26">
        <f>(SUM(G$5:G$9))*6.5</f>
        <v>1430000</v>
      </c>
      <c r="H14" s="26">
        <f>(SUM(H$5:H$9))*6.5</f>
        <v>1625000</v>
      </c>
      <c r="I14" s="26">
        <f>(SUM(I$5:I$11))*7</f>
        <v>1960000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s="8" customFormat="1" ht="30.95" customHeight="1">
      <c r="A15" s="47"/>
      <c r="B15" s="25" t="s">
        <v>22</v>
      </c>
      <c r="C15" s="25" t="s">
        <v>6</v>
      </c>
      <c r="D15" s="26">
        <v>700000</v>
      </c>
      <c r="E15" s="26">
        <f>(SUM(E$5:E$9))*6.5</f>
        <v>780000</v>
      </c>
      <c r="F15" s="26">
        <f>(SUM(F$5:F$9))*6.5</f>
        <v>1040000</v>
      </c>
      <c r="G15" s="26">
        <f>(SUM(G$5:G$9))*7</f>
        <v>1540000</v>
      </c>
      <c r="H15" s="26">
        <f>(SUM(H$5:H$9))*7</f>
        <v>1750000</v>
      </c>
      <c r="I15" s="26">
        <f>(SUM(I$5:I$11))*7.5</f>
        <v>2100000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s="8" customFormat="1" ht="30.95" customHeight="1">
      <c r="A16" s="47"/>
      <c r="B16" s="27" t="s">
        <v>23</v>
      </c>
      <c r="C16" s="27" t="s">
        <v>6</v>
      </c>
      <c r="D16" s="28">
        <f>AVERAGE(D14:D15)</f>
        <v>575000</v>
      </c>
      <c r="E16" s="28">
        <f>AVERAGE(E14:E15)</f>
        <v>750000</v>
      </c>
      <c r="F16" s="28">
        <f t="shared" ref="F16:I16" si="1">AVERAGE(F14:F15)</f>
        <v>1000000</v>
      </c>
      <c r="G16" s="28">
        <f t="shared" si="1"/>
        <v>1485000</v>
      </c>
      <c r="H16" s="28">
        <f t="shared" si="1"/>
        <v>1687500</v>
      </c>
      <c r="I16" s="28">
        <f t="shared" si="1"/>
        <v>2030000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s="36" customFormat="1" ht="30.95" customHeight="1">
      <c r="A17" s="50"/>
      <c r="B17" s="50"/>
      <c r="C17" s="50"/>
      <c r="D17" s="50"/>
      <c r="E17" s="50"/>
      <c r="F17" s="50"/>
      <c r="G17" s="50"/>
      <c r="H17" s="50"/>
      <c r="I17" s="50"/>
    </row>
    <row r="18" spans="1:28" s="8" customFormat="1" ht="51.95" customHeight="1">
      <c r="A18" s="38" t="s">
        <v>24</v>
      </c>
      <c r="B18" s="39" t="s">
        <v>25</v>
      </c>
      <c r="C18" s="39" t="s">
        <v>26</v>
      </c>
      <c r="D18" s="40">
        <f t="shared" ref="D18:I18" si="2">D16*0.05</f>
        <v>28750</v>
      </c>
      <c r="E18" s="40">
        <f t="shared" si="2"/>
        <v>37500</v>
      </c>
      <c r="F18" s="40">
        <f t="shared" si="2"/>
        <v>50000</v>
      </c>
      <c r="G18" s="40">
        <f t="shared" si="2"/>
        <v>74250</v>
      </c>
      <c r="H18" s="40">
        <f t="shared" si="2"/>
        <v>84375</v>
      </c>
      <c r="I18" s="40">
        <f t="shared" si="2"/>
        <v>101500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s="5" customFormat="1" ht="29.1" customHeight="1">
      <c r="A19" s="41"/>
      <c r="B19" s="3"/>
      <c r="C19" s="3"/>
      <c r="D19" s="42"/>
      <c r="E19" s="42"/>
      <c r="F19" s="42"/>
      <c r="G19" s="42"/>
      <c r="H19" s="42"/>
      <c r="I19" s="42"/>
    </row>
    <row r="20" spans="1:28" s="8" customFormat="1" ht="30.95" customHeight="1">
      <c r="A20" s="43" t="s">
        <v>27</v>
      </c>
      <c r="B20" s="27" t="s">
        <v>28</v>
      </c>
      <c r="C20" s="27" t="s">
        <v>26</v>
      </c>
      <c r="D20" s="28">
        <f t="shared" ref="D20:I20" si="3">D16-D18</f>
        <v>546250</v>
      </c>
      <c r="E20" s="28">
        <f t="shared" si="3"/>
        <v>712500</v>
      </c>
      <c r="F20" s="28">
        <f t="shared" si="3"/>
        <v>950000</v>
      </c>
      <c r="G20" s="28">
        <f t="shared" si="3"/>
        <v>1410750</v>
      </c>
      <c r="H20" s="28">
        <f t="shared" si="3"/>
        <v>1603125</v>
      </c>
      <c r="I20" s="28">
        <f t="shared" si="3"/>
        <v>1928500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30.95" customHeight="1">
      <c r="A21" s="48"/>
      <c r="B21" s="48"/>
      <c r="C21" s="48"/>
      <c r="D21" s="48"/>
      <c r="E21" s="48"/>
      <c r="F21" s="48"/>
      <c r="G21" s="48"/>
      <c r="H21" s="48"/>
      <c r="I21" s="48"/>
    </row>
    <row r="22" spans="1:28" s="7" customFormat="1" ht="30.95" customHeight="1">
      <c r="A22" s="37" t="s">
        <v>29</v>
      </c>
      <c r="B22" s="29" t="s">
        <v>30</v>
      </c>
      <c r="C22" s="29" t="s">
        <v>6</v>
      </c>
      <c r="D22" s="30">
        <f>D20*0.05</f>
        <v>27312.5</v>
      </c>
      <c r="E22" s="30">
        <f t="shared" ref="E22:I22" si="4">E20*0.05</f>
        <v>35625</v>
      </c>
      <c r="F22" s="30">
        <f t="shared" si="4"/>
        <v>47500</v>
      </c>
      <c r="G22" s="30">
        <f t="shared" si="4"/>
        <v>70537.5</v>
      </c>
      <c r="H22" s="30">
        <f t="shared" si="4"/>
        <v>80156.25</v>
      </c>
      <c r="I22" s="30">
        <f t="shared" si="4"/>
        <v>96425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30.95" customHeight="1">
      <c r="A23" s="48"/>
      <c r="B23" s="48"/>
      <c r="C23" s="48"/>
      <c r="D23" s="48"/>
      <c r="E23" s="48"/>
      <c r="F23" s="48"/>
      <c r="G23" s="48"/>
      <c r="H23" s="48"/>
      <c r="I23" s="48"/>
    </row>
    <row r="24" spans="1:28" s="8" customFormat="1" ht="30.95" customHeight="1">
      <c r="A24" s="47" t="s">
        <v>31</v>
      </c>
      <c r="B24" s="27" t="s">
        <v>32</v>
      </c>
      <c r="C24" s="27" t="s">
        <v>6</v>
      </c>
      <c r="D24" s="28">
        <f>D20-(D12+D22)</f>
        <v>328937.5</v>
      </c>
      <c r="E24" s="28">
        <f t="shared" ref="E24:I24" si="5">E20-(E12+E22)</f>
        <v>481875</v>
      </c>
      <c r="F24" s="28">
        <f t="shared" si="5"/>
        <v>667500</v>
      </c>
      <c r="G24" s="28">
        <f t="shared" si="5"/>
        <v>1045212.5</v>
      </c>
      <c r="H24" s="28">
        <f t="shared" si="5"/>
        <v>1197968.75</v>
      </c>
      <c r="I24" s="28">
        <f t="shared" si="5"/>
        <v>1477075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s="8" customFormat="1" ht="42">
      <c r="A25" s="47"/>
      <c r="B25" s="31" t="s">
        <v>33</v>
      </c>
      <c r="C25" s="27" t="s">
        <v>6</v>
      </c>
      <c r="D25" s="32">
        <f>D20/500</f>
        <v>1092.5</v>
      </c>
      <c r="E25" s="32">
        <f t="shared" ref="E25:I25" si="6">E20/500</f>
        <v>1425</v>
      </c>
      <c r="F25" s="32">
        <f t="shared" si="6"/>
        <v>1900</v>
      </c>
      <c r="G25" s="32">
        <f t="shared" si="6"/>
        <v>2821.5</v>
      </c>
      <c r="H25" s="32">
        <f t="shared" si="6"/>
        <v>3206.25</v>
      </c>
      <c r="I25" s="32">
        <f t="shared" si="6"/>
        <v>3857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s="8" customFormat="1" ht="42">
      <c r="A26" s="47"/>
      <c r="B26" s="31" t="s">
        <v>34</v>
      </c>
      <c r="C26" s="27" t="s">
        <v>6</v>
      </c>
      <c r="D26" s="32">
        <f t="shared" ref="D26:I26" si="7">D20/700</f>
        <v>780.35714285714289</v>
      </c>
      <c r="E26" s="32">
        <f t="shared" si="7"/>
        <v>1017.8571428571429</v>
      </c>
      <c r="F26" s="32">
        <f t="shared" si="7"/>
        <v>1357.1428571428571</v>
      </c>
      <c r="G26" s="32">
        <f t="shared" si="7"/>
        <v>2015.3571428571429</v>
      </c>
      <c r="H26" s="32">
        <f t="shared" si="7"/>
        <v>2290.1785714285716</v>
      </c>
      <c r="I26" s="32">
        <f t="shared" si="7"/>
        <v>2755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s="8" customFormat="1" ht="50.1" customHeight="1">
      <c r="A27" s="47"/>
      <c r="B27" s="31" t="s">
        <v>35</v>
      </c>
      <c r="C27" s="27" t="s">
        <v>6</v>
      </c>
      <c r="D27" s="44" t="s">
        <v>36</v>
      </c>
      <c r="E27" s="44" t="s">
        <v>37</v>
      </c>
      <c r="F27" s="44" t="s">
        <v>38</v>
      </c>
      <c r="G27" s="44" t="s">
        <v>39</v>
      </c>
      <c r="H27" s="44" t="s">
        <v>40</v>
      </c>
      <c r="I27" s="44" t="s">
        <v>41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30.95" customHeight="1"/>
    <row r="29" spans="1:28" ht="30.95" customHeight="1"/>
    <row r="30" spans="1:28" ht="30.95" customHeight="1"/>
    <row r="31" spans="1:28" s="4" customFormat="1" ht="30.95" customHeight="1">
      <c r="A31" s="33" t="s">
        <v>42</v>
      </c>
      <c r="B31" s="34" t="s">
        <v>43</v>
      </c>
      <c r="C31" s="34" t="s">
        <v>44</v>
      </c>
      <c r="D31" s="35">
        <v>95000</v>
      </c>
      <c r="E31" s="9"/>
      <c r="F31" s="9"/>
      <c r="G31" s="9"/>
      <c r="H31" s="9"/>
      <c r="I31" s="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</sheetData>
  <mergeCells count="10">
    <mergeCell ref="A1:I1"/>
    <mergeCell ref="A24:A27"/>
    <mergeCell ref="A13:I13"/>
    <mergeCell ref="A21:I21"/>
    <mergeCell ref="A23:I23"/>
    <mergeCell ref="A5:A7"/>
    <mergeCell ref="A17:I17"/>
    <mergeCell ref="A3:A4"/>
    <mergeCell ref="A9:A11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Ragavendra Kumar</dc:creator>
  <cp:keywords/>
  <dc:description/>
  <cp:lastModifiedBy>Prashanth S</cp:lastModifiedBy>
  <cp:revision/>
  <dcterms:created xsi:type="dcterms:W3CDTF">2025-09-26T07:13:50Z</dcterms:created>
  <dcterms:modified xsi:type="dcterms:W3CDTF">2026-06-30T11:15:20Z</dcterms:modified>
  <cp:category/>
  <cp:contentStatus/>
</cp:coreProperties>
</file>